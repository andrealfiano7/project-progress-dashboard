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NDRE DT\PROJECT MAN OFFICER\INJOURNEY AIRPORTS\PRESENTASI\"/>
    </mc:Choice>
  </mc:AlternateContent>
  <xr:revisionPtr revIDLastSave="0" documentId="13_ncr:1_{BE1CADF9-8FFA-4B60-9582-6F0F9DB706DA}" xr6:coauthVersionLast="47" xr6:coauthVersionMax="47" xr10:uidLastSave="{00000000-0000-0000-0000-000000000000}"/>
  <bookViews>
    <workbookView xWindow="-108" yWindow="-108" windowWidth="23256" windowHeight="12456" tabRatio="297" activeTab="1" xr2:uid="{B56C55D2-445F-4849-92ED-9903A195F6F8}"/>
  </bookViews>
  <sheets>
    <sheet name="Sheet1" sheetId="1" r:id="rId1"/>
    <sheet name="Sheet1 (2)" sheetId="3" r:id="rId2"/>
  </sheets>
  <definedNames>
    <definedName name="_xlnm.Print_Area" localSheetId="0">Sheet1!$B$1:$AD$32</definedName>
    <definedName name="_xlnm.Print_Area" localSheetId="1">'Sheet1 (2)'!$B$1:$AF$32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" i="3" l="1"/>
  <c r="AK10" i="3"/>
  <c r="AK9" i="3"/>
  <c r="AK12" i="3"/>
  <c r="AG8" i="3"/>
  <c r="AG10" i="3"/>
  <c r="AH8" i="3"/>
  <c r="J5" i="3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Q20" i="1"/>
  <c r="AP20" i="1"/>
  <c r="AO20" i="1"/>
  <c r="AN20" i="1"/>
  <c r="AN18" i="1"/>
  <c r="H5" i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</calcChain>
</file>

<file path=xl/sharedStrings.xml><?xml version="1.0" encoding="utf-8"?>
<sst xmlns="http://schemas.openxmlformats.org/spreadsheetml/2006/main" count="224" uniqueCount="80">
  <si>
    <t xml:space="preserve">Timeline Implementasi BCM </t>
  </si>
  <si>
    <t>Institusi:  Angkasa Pura Indonesia (API)</t>
  </si>
  <si>
    <t>Bulan ke-1</t>
  </si>
  <si>
    <t>Bulan ke-2</t>
  </si>
  <si>
    <t>Bulan ke-3</t>
  </si>
  <si>
    <t>Bulan ke-4</t>
  </si>
  <si>
    <t>Bulan ke-5</t>
  </si>
  <si>
    <t>Bulan ke-6</t>
  </si>
  <si>
    <t>#</t>
  </si>
  <si>
    <t>Item Pekerjaan</t>
  </si>
  <si>
    <t>Output</t>
  </si>
  <si>
    <t>PIC</t>
  </si>
  <si>
    <t>FASE 0 - INISIASI PROYEK</t>
  </si>
  <si>
    <t>Kick-off Meeting</t>
  </si>
  <si>
    <t>- Materi Kick-off meeting
- Daftar Hadir
- Notulen
- Foto-foto</t>
  </si>
  <si>
    <t>- Seluruh Team Centrois
- Manajemen dan Seluruh personil terkait API</t>
  </si>
  <si>
    <t>Sosialisasi "Pengenalan BCM"</t>
  </si>
  <si>
    <t>- Materi Sosialisasi
- Daftar Hadir
- Foto-foto
- E-Certificate</t>
  </si>
  <si>
    <t>- Konsultan Centrois
- Seluruh personil API</t>
  </si>
  <si>
    <t/>
  </si>
  <si>
    <t>Pemenuhan Dokumen</t>
  </si>
  <si>
    <t>- Daftar Permintaan Dokumen
- Storage penyimpanan dokumen</t>
  </si>
  <si>
    <t>- PMO
- Tim Imbangan API</t>
  </si>
  <si>
    <t xml:space="preserve">Tinjauan Dokumen &amp; Wawancara </t>
  </si>
  <si>
    <t>- Kertas Kerja Penilaian Awal
- Laporan Gap Analysis</t>
  </si>
  <si>
    <t>- Konsultan Centrois
- PIC API</t>
  </si>
  <si>
    <t>Penyusunan Laporan Hasil Tinjauan</t>
  </si>
  <si>
    <t>Draft Laporan Hasil Tinjauan</t>
  </si>
  <si>
    <t>Konsultan Centrois</t>
  </si>
  <si>
    <t>Pemaparan Laporan Hasil Tinjauan</t>
  </si>
  <si>
    <t>Materi paparan Laporan Hasil Tinjuan</t>
  </si>
  <si>
    <t>FASE 1 - PEMAHAMAN ORGANISASI</t>
  </si>
  <si>
    <t>Pemutakhiran Kebijakan &amp; Pedoman BCM</t>
  </si>
  <si>
    <t>- Draft Kebijakan &amp; Pedoman BCMS
- Kertas Kerja Parameter BCMS</t>
  </si>
  <si>
    <t>Pelatihan &amp; lokakarya "Pembangunan BCM"</t>
  </si>
  <si>
    <t>Penyusunan BIA</t>
  </si>
  <si>
    <t>Kertas Kerja BIA (2 set)</t>
  </si>
  <si>
    <t>- Konsultan Centrois
- Narsum API</t>
  </si>
  <si>
    <t>\</t>
  </si>
  <si>
    <t>Peyusunan RA</t>
  </si>
  <si>
    <t>Kertas Kerja RA (2 set)</t>
  </si>
  <si>
    <t>FASE 2 - STRATEGI BCM</t>
  </si>
  <si>
    <t>Penyusunan BCS</t>
  </si>
  <si>
    <t>Kertas Kerja BCS</t>
  </si>
  <si>
    <t>- Konsultan Centrois
- Tim Imbangan API</t>
  </si>
  <si>
    <t>Pemaparan BCS</t>
  </si>
  <si>
    <t>Materi paparan BCS</t>
  </si>
  <si>
    <t>FASE 3 &amp; 4 - IMPLEMENTASI</t>
  </si>
  <si>
    <t>Penyusunan BCP</t>
  </si>
  <si>
    <t>Draft final 2 dokumen BCP</t>
  </si>
  <si>
    <t>Penyusunan CMP</t>
  </si>
  <si>
    <t>Draft final dokumen CMP</t>
  </si>
  <si>
    <t>Sosialisasi "Prosedur BCM"</t>
  </si>
  <si>
    <t>FASE 5 - VALIDASI PROSEDUR BCM</t>
  </si>
  <si>
    <t>Diskusi rencana pengujian BCP</t>
  </si>
  <si>
    <t>- Materi rencana pengujian
- Notulen diskusi</t>
  </si>
  <si>
    <t>Pelaksanaan Pengujian BCP</t>
  </si>
  <si>
    <t>- Materi sosialisasi BCP
- Materi pengujian
- Daftar hadir
- Dokumentasi Pelaksanaan</t>
  </si>
  <si>
    <t>- Konsultan Centrois
- Tim BCP
- Tim Imbangan
- Observer</t>
  </si>
  <si>
    <t>Pelaporan Pengujian BCP</t>
  </si>
  <si>
    <t>Laporan Hasil Pengujian</t>
  </si>
  <si>
    <t>- Konsultan Centrois</t>
  </si>
  <si>
    <t>PENUTUPAN</t>
  </si>
  <si>
    <t>BAST</t>
  </si>
  <si>
    <t>PMO</t>
  </si>
  <si>
    <t>Aktivitas Kunjungan Domestik</t>
  </si>
  <si>
    <t>Materi Pelatihan
- Daftar Hadir
- Foto-Foto
- E-Certificate</t>
  </si>
  <si>
    <t>BIA Strategis</t>
  </si>
  <si>
    <t>Tim Konsultan Centrois</t>
  </si>
  <si>
    <t>- Kertas Kerja BIA Strategis</t>
  </si>
  <si>
    <t>- Konsultan Centrois
- Tim Imbangan</t>
  </si>
  <si>
    <t>Progress</t>
  </si>
  <si>
    <t>Plan</t>
  </si>
  <si>
    <t>In Progress</t>
  </si>
  <si>
    <t>Completed</t>
  </si>
  <si>
    <t>Rumus</t>
  </si>
  <si>
    <t>Overdue</t>
  </si>
  <si>
    <t xml:space="preserve">  </t>
  </si>
  <si>
    <t>Target</t>
  </si>
  <si>
    <t>Capaian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</si>
</sst>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5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4" borderId="0" xfId="0" applyFont="1" applyFill="1"/>
    <xf numFmtId="0" fontId="1" fillId="4" borderId="0" xfId="0" applyFont="1" applyFill="1"/>
    <xf numFmtId="0" fontId="3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vertical="top"/>
    </xf>
    <xf numFmtId="9" fontId="1" fillId="0" borderId="0" xfId="1" applyFont="1"/>
    <xf numFmtId="9" fontId="1" fillId="0" borderId="0" xfId="0" applyNumberFormat="1" applyFont="1"/>
    <xf numFmtId="9" fontId="1" fillId="0" borderId="0" xfId="1" applyFont="1" applyAlignment="1">
      <alignment vertical="center"/>
    </xf>
    <xf numFmtId="0" fontId="3" fillId="0" borderId="0" xfId="0" applyFont="1"/>
    <xf numFmtId="9" fontId="3" fillId="0" borderId="0" xfId="1" applyFont="1"/>
    <xf numFmtId="0" fontId="1" fillId="5" borderId="1" xfId="0" quotePrefix="1" applyFont="1" applyFill="1" applyBorder="1" applyAlignment="1">
      <alignment vertical="top" wrapText="1"/>
    </xf>
    <xf numFmtId="0" fontId="1" fillId="6" borderId="1" xfId="0" quotePrefix="1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 wrapText="1"/>
    </xf>
    <xf numFmtId="0" fontId="1" fillId="7" borderId="0" xfId="0" applyFont="1" applyFill="1"/>
    <xf numFmtId="0" fontId="5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center"/>
    </xf>
    <xf numFmtId="0" fontId="1" fillId="7" borderId="0" xfId="0" applyFont="1" applyFill="1" applyAlignment="1">
      <alignment vertical="top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8" borderId="1" xfId="0" quotePrefix="1" applyFont="1" applyFill="1" applyBorder="1" applyAlignment="1">
      <alignment vertical="top" wrapText="1"/>
    </xf>
    <xf numFmtId="0" fontId="1" fillId="9" borderId="1" xfId="0" quotePrefix="1" applyFont="1" applyFill="1" applyBorder="1" applyAlignment="1">
      <alignment vertical="top" wrapText="1"/>
    </xf>
    <xf numFmtId="9" fontId="1" fillId="0" borderId="1" xfId="0" quotePrefix="1" applyNumberFormat="1" applyFont="1" applyBorder="1" applyAlignment="1">
      <alignment horizontal="center" vertical="top" wrapText="1"/>
    </xf>
    <xf numFmtId="0" fontId="1" fillId="10" borderId="1" xfId="0" applyFont="1" applyFill="1" applyBorder="1" applyAlignment="1">
      <alignment vertical="top"/>
    </xf>
    <xf numFmtId="9" fontId="1" fillId="0" borderId="1" xfId="0" applyNumberFormat="1" applyFont="1" applyBorder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38-4D01-A91C-9E570838A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C9-4E19-A2B9-BD0ECBCF93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38-4D01-A91C-9E570838A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38-4D01-A91C-9E570838A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'Sheet1 (2)'!$AJ$9:$AJ$12</c:f>
              <c:strCache>
                <c:ptCount val="4"/>
                <c:pt idx="0">
                  <c:v>Plan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'Sheet1 (2)'!$AK$9:$AK$12</c:f>
              <c:numCache>
                <c:formatCode>0%</c:formatCode>
                <c:ptCount val="4"/>
                <c:pt idx="0">
                  <c:v>0.38095238095238093</c:v>
                </c:pt>
                <c:pt idx="1">
                  <c:v>4.7619047619047616E-2</c:v>
                </c:pt>
                <c:pt idx="2">
                  <c:v>0.52380952380952384</c:v>
                </c:pt>
                <c:pt idx="3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E5A-995B-2F1CD1CBDF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3503</xdr:colOff>
      <xdr:row>12</xdr:row>
      <xdr:rowOff>185307</xdr:rowOff>
    </xdr:from>
    <xdr:to>
      <xdr:col>40</xdr:col>
      <xdr:colOff>371366</xdr:colOff>
      <xdr:row>20</xdr:row>
      <xdr:rowOff>38162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DB68A0-0629-4E58-3B04-86973B18F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8A45-9712-A74C-A048-76997873394D}">
  <dimension ref="B1:AQ34"/>
  <sheetViews>
    <sheetView topLeftCell="D1" zoomScale="55" zoomScaleNormal="55" workbookViewId="0">
      <selection activeCell="AL21" sqref="AL21"/>
    </sheetView>
  </sheetViews>
  <sheetFormatPr defaultColWidth="11" defaultRowHeight="15.6" outlineLevelRow="1" x14ac:dyDescent="0.3"/>
  <cols>
    <col min="1" max="1" width="11" style="1"/>
    <col min="2" max="2" width="3.69921875" style="1" customWidth="1"/>
    <col min="3" max="4" width="37.296875" style="1" customWidth="1"/>
    <col min="5" max="6" width="20.296875" style="1" customWidth="1"/>
    <col min="7" max="30" width="3.796875" style="1" customWidth="1"/>
    <col min="31" max="16384" width="11" style="1"/>
  </cols>
  <sheetData>
    <row r="1" spans="2:31" ht="18" x14ac:dyDescent="0.35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2:31" ht="18" x14ac:dyDescent="0.3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2:31" ht="18" x14ac:dyDescent="0.3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2:31" ht="18" x14ac:dyDescent="0.35">
      <c r="B4" s="17"/>
      <c r="C4" s="18"/>
      <c r="D4" s="18"/>
      <c r="E4" s="18"/>
      <c r="F4" s="18"/>
      <c r="G4" s="35" t="s">
        <v>2</v>
      </c>
      <c r="H4" s="35"/>
      <c r="I4" s="35"/>
      <c r="J4" s="35"/>
      <c r="K4" s="35" t="s">
        <v>3</v>
      </c>
      <c r="L4" s="35"/>
      <c r="M4" s="35"/>
      <c r="N4" s="35"/>
      <c r="O4" s="35" t="s">
        <v>4</v>
      </c>
      <c r="P4" s="35"/>
      <c r="Q4" s="35"/>
      <c r="R4" s="35"/>
      <c r="S4" s="35" t="s">
        <v>5</v>
      </c>
      <c r="T4" s="35"/>
      <c r="U4" s="35"/>
      <c r="V4" s="35"/>
      <c r="W4" s="35" t="s">
        <v>6</v>
      </c>
      <c r="X4" s="35"/>
      <c r="Y4" s="35"/>
      <c r="Z4" s="35"/>
      <c r="AA4" s="36" t="s">
        <v>7</v>
      </c>
      <c r="AB4" s="36"/>
      <c r="AC4" s="36"/>
      <c r="AD4" s="36"/>
    </row>
    <row r="5" spans="2:31" s="2" customFormat="1" x14ac:dyDescent="0.3">
      <c r="B5" s="5" t="s">
        <v>8</v>
      </c>
      <c r="C5" s="5" t="s">
        <v>9</v>
      </c>
      <c r="D5" s="5" t="s">
        <v>10</v>
      </c>
      <c r="E5" s="5" t="s">
        <v>11</v>
      </c>
      <c r="F5" s="5" t="s">
        <v>71</v>
      </c>
      <c r="G5" s="5">
        <v>1</v>
      </c>
      <c r="H5" s="5">
        <f>G5+1</f>
        <v>2</v>
      </c>
      <c r="I5" s="5">
        <f t="shared" ref="I5:AC5" si="0">H5+1</f>
        <v>3</v>
      </c>
      <c r="J5" s="5">
        <f t="shared" si="0"/>
        <v>4</v>
      </c>
      <c r="K5" s="5">
        <f t="shared" si="0"/>
        <v>5</v>
      </c>
      <c r="L5" s="5">
        <f t="shared" si="0"/>
        <v>6</v>
      </c>
      <c r="M5" s="5">
        <f t="shared" si="0"/>
        <v>7</v>
      </c>
      <c r="N5" s="5">
        <f t="shared" si="0"/>
        <v>8</v>
      </c>
      <c r="O5" s="5">
        <f t="shared" si="0"/>
        <v>9</v>
      </c>
      <c r="P5" s="5">
        <f t="shared" si="0"/>
        <v>10</v>
      </c>
      <c r="Q5" s="5">
        <f t="shared" si="0"/>
        <v>11</v>
      </c>
      <c r="R5" s="5">
        <f t="shared" si="0"/>
        <v>12</v>
      </c>
      <c r="S5" s="5">
        <f t="shared" si="0"/>
        <v>13</v>
      </c>
      <c r="T5" s="5">
        <f t="shared" si="0"/>
        <v>14</v>
      </c>
      <c r="U5" s="5">
        <f t="shared" si="0"/>
        <v>15</v>
      </c>
      <c r="V5" s="5">
        <f t="shared" si="0"/>
        <v>16</v>
      </c>
      <c r="W5" s="5">
        <f t="shared" si="0"/>
        <v>17</v>
      </c>
      <c r="X5" s="5">
        <f t="shared" si="0"/>
        <v>18</v>
      </c>
      <c r="Y5" s="5">
        <f t="shared" si="0"/>
        <v>19</v>
      </c>
      <c r="Z5" s="5">
        <f t="shared" si="0"/>
        <v>20</v>
      </c>
      <c r="AA5" s="5">
        <f t="shared" si="0"/>
        <v>21</v>
      </c>
      <c r="AB5" s="5">
        <f t="shared" si="0"/>
        <v>22</v>
      </c>
      <c r="AC5" s="5">
        <f t="shared" si="0"/>
        <v>23</v>
      </c>
      <c r="AD5" s="5">
        <f>AC5+1</f>
        <v>24</v>
      </c>
    </row>
    <row r="6" spans="2:31" x14ac:dyDescent="0.3">
      <c r="B6" s="37" t="s">
        <v>12</v>
      </c>
      <c r="C6" s="37"/>
      <c r="D6" s="37"/>
      <c r="E6" s="37"/>
      <c r="F6" s="19"/>
      <c r="G6" s="6"/>
      <c r="H6" s="6"/>
      <c r="I6" s="6"/>
      <c r="J6" s="6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2:31" ht="78" outlineLevel="1" x14ac:dyDescent="0.3">
      <c r="B7" s="8">
        <v>1</v>
      </c>
      <c r="C7" s="8" t="s">
        <v>13</v>
      </c>
      <c r="D7" s="9" t="s">
        <v>14</v>
      </c>
      <c r="E7" s="9" t="s">
        <v>15</v>
      </c>
      <c r="F7" s="9" t="s">
        <v>73</v>
      </c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2:31" ht="62.4" outlineLevel="1" x14ac:dyDescent="0.3">
      <c r="B8" s="8">
        <v>2</v>
      </c>
      <c r="C8" s="8" t="s">
        <v>16</v>
      </c>
      <c r="D8" s="9" t="s">
        <v>17</v>
      </c>
      <c r="E8" s="9" t="s">
        <v>18</v>
      </c>
      <c r="F8" s="9" t="s">
        <v>73</v>
      </c>
      <c r="G8" s="10" t="s">
        <v>19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2:31" ht="31.2" outlineLevel="1" x14ac:dyDescent="0.3">
      <c r="B9" s="8">
        <v>3</v>
      </c>
      <c r="C9" s="8" t="s">
        <v>20</v>
      </c>
      <c r="D9" s="9" t="s">
        <v>21</v>
      </c>
      <c r="E9" s="9" t="s">
        <v>22</v>
      </c>
      <c r="F9" s="9" t="s">
        <v>74</v>
      </c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2:31" ht="31.2" outlineLevel="1" x14ac:dyDescent="0.3">
      <c r="B10" s="8">
        <v>4</v>
      </c>
      <c r="C10" s="8" t="s">
        <v>67</v>
      </c>
      <c r="D10" s="9" t="s">
        <v>69</v>
      </c>
      <c r="E10" s="9" t="s">
        <v>70</v>
      </c>
      <c r="F10" s="9" t="s">
        <v>72</v>
      </c>
      <c r="G10" s="8"/>
      <c r="H10" s="7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2:31" ht="31.2" outlineLevel="1" x14ac:dyDescent="0.3">
      <c r="B11" s="8">
        <v>5</v>
      </c>
      <c r="C11" s="8" t="s">
        <v>23</v>
      </c>
      <c r="D11" s="9" t="s">
        <v>24</v>
      </c>
      <c r="E11" s="9" t="s">
        <v>25</v>
      </c>
      <c r="F11" s="9" t="s">
        <v>73</v>
      </c>
      <c r="G11" s="11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2:31" outlineLevel="1" x14ac:dyDescent="0.3">
      <c r="B12" s="8">
        <v>6</v>
      </c>
      <c r="C12" s="8" t="s">
        <v>26</v>
      </c>
      <c r="D12" s="8" t="s">
        <v>27</v>
      </c>
      <c r="E12" s="8" t="s">
        <v>28</v>
      </c>
      <c r="F12" s="9" t="s">
        <v>72</v>
      </c>
      <c r="G12" s="8"/>
      <c r="H12" s="8"/>
      <c r="I12" s="8"/>
      <c r="J12" s="8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2:31" outlineLevel="1" x14ac:dyDescent="0.3">
      <c r="B13" s="8">
        <v>7</v>
      </c>
      <c r="C13" s="8" t="s">
        <v>29</v>
      </c>
      <c r="D13" s="8" t="s">
        <v>30</v>
      </c>
      <c r="E13" s="8" t="s">
        <v>28</v>
      </c>
      <c r="F13" s="9" t="s">
        <v>72</v>
      </c>
      <c r="G13" s="8"/>
      <c r="H13" s="8"/>
      <c r="I13" s="8"/>
      <c r="J13" s="8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2:31" x14ac:dyDescent="0.3">
      <c r="B14" s="37" t="s">
        <v>31</v>
      </c>
      <c r="C14" s="37"/>
      <c r="D14" s="37"/>
      <c r="E14" s="37"/>
      <c r="F14" s="9"/>
      <c r="G14" s="3"/>
      <c r="H14" s="3"/>
      <c r="I14" s="3"/>
      <c r="J14" s="3"/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8"/>
      <c r="X14" s="8"/>
      <c r="Y14" s="8"/>
      <c r="Z14" s="8"/>
      <c r="AA14" s="8"/>
      <c r="AB14" s="8"/>
      <c r="AC14" s="8"/>
      <c r="AD14" s="8"/>
    </row>
    <row r="15" spans="2:31" ht="31.2" outlineLevel="1" x14ac:dyDescent="0.3">
      <c r="B15" s="8">
        <v>8</v>
      </c>
      <c r="C15" s="8" t="s">
        <v>32</v>
      </c>
      <c r="D15" s="9" t="s">
        <v>33</v>
      </c>
      <c r="E15" s="8" t="s">
        <v>68</v>
      </c>
      <c r="F15" s="9" t="s">
        <v>72</v>
      </c>
      <c r="G15" s="8"/>
      <c r="H15" s="8"/>
      <c r="I15" s="8"/>
      <c r="J15" s="8"/>
      <c r="K15" s="3"/>
      <c r="L15" s="7"/>
      <c r="M15" s="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4"/>
    </row>
    <row r="16" spans="2:31" s="16" customFormat="1" ht="24.6" customHeight="1" outlineLevel="1" x14ac:dyDescent="0.3">
      <c r="B16" s="12">
        <v>9</v>
      </c>
      <c r="C16" s="12" t="s">
        <v>65</v>
      </c>
      <c r="D16" s="13"/>
      <c r="E16" s="13" t="s">
        <v>61</v>
      </c>
      <c r="F16" s="9" t="s">
        <v>72</v>
      </c>
      <c r="G16" s="12"/>
      <c r="H16" s="12"/>
      <c r="I16" s="12"/>
      <c r="J16" s="12"/>
      <c r="K16" s="14"/>
      <c r="L16" s="15"/>
      <c r="M16" s="15"/>
      <c r="N16" s="7"/>
      <c r="O16" s="20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43" ht="62.4" outlineLevel="1" x14ac:dyDescent="0.3">
      <c r="B17" s="8">
        <v>10</v>
      </c>
      <c r="C17" s="8" t="s">
        <v>34</v>
      </c>
      <c r="D17" s="9" t="s">
        <v>66</v>
      </c>
      <c r="E17" s="9" t="s">
        <v>25</v>
      </c>
      <c r="F17" s="9" t="s">
        <v>72</v>
      </c>
      <c r="G17" s="10" t="s">
        <v>19</v>
      </c>
      <c r="H17" s="8"/>
      <c r="I17" s="8"/>
      <c r="J17" s="8"/>
      <c r="K17" s="8"/>
      <c r="L17" s="8"/>
      <c r="M17" s="8"/>
      <c r="N17" s="8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N17" s="1" t="s">
        <v>75</v>
      </c>
    </row>
    <row r="18" spans="2:43" ht="31.2" outlineLevel="1" x14ac:dyDescent="0.3">
      <c r="B18" s="12">
        <v>11</v>
      </c>
      <c r="C18" s="12" t="s">
        <v>35</v>
      </c>
      <c r="D18" s="9" t="s">
        <v>36</v>
      </c>
      <c r="E18" s="9" t="s">
        <v>37</v>
      </c>
      <c r="F18" s="9" t="s">
        <v>72</v>
      </c>
      <c r="G18" s="8"/>
      <c r="H18" s="8"/>
      <c r="I18" s="8"/>
      <c r="J18" s="8" t="s">
        <v>38</v>
      </c>
      <c r="K18" s="8"/>
      <c r="L18" s="8"/>
      <c r="M18" s="8"/>
      <c r="N18" s="8"/>
      <c r="O18" s="7"/>
      <c r="P18" s="7"/>
      <c r="Q18" s="7"/>
      <c r="R18" s="7"/>
      <c r="S18" s="7"/>
      <c r="T18" s="7"/>
      <c r="U18" s="7"/>
      <c r="V18" s="7"/>
      <c r="W18" s="7"/>
      <c r="X18" s="8"/>
      <c r="Y18" s="8"/>
      <c r="Z18" s="8"/>
      <c r="AA18" s="8"/>
      <c r="AB18" s="8"/>
      <c r="AC18" s="8"/>
      <c r="AD18" s="8"/>
      <c r="AE18" s="4"/>
      <c r="AN18" s="21">
        <f>1/21</f>
        <v>4.7619047619047616E-2</v>
      </c>
    </row>
    <row r="19" spans="2:43" ht="31.2" outlineLevel="1" x14ac:dyDescent="0.3">
      <c r="B19" s="8">
        <v>12</v>
      </c>
      <c r="C19" s="8" t="s">
        <v>39</v>
      </c>
      <c r="D19" s="9" t="s">
        <v>40</v>
      </c>
      <c r="E19" s="9" t="s">
        <v>37</v>
      </c>
      <c r="F19" s="9" t="s">
        <v>72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7"/>
      <c r="W19" s="8"/>
      <c r="X19" s="8"/>
      <c r="Y19" s="8"/>
      <c r="Z19" s="8"/>
      <c r="AA19" s="8"/>
      <c r="AB19" s="8"/>
      <c r="AC19" s="8"/>
      <c r="AD19" s="8"/>
      <c r="AE19" s="4"/>
      <c r="AN19" s="1" t="s">
        <v>72</v>
      </c>
      <c r="AO19" s="1" t="s">
        <v>73</v>
      </c>
      <c r="AP19" s="1" t="s">
        <v>74</v>
      </c>
      <c r="AQ19" s="1" t="s">
        <v>76</v>
      </c>
    </row>
    <row r="20" spans="2:43" x14ac:dyDescent="0.3">
      <c r="B20" s="37" t="s">
        <v>41</v>
      </c>
      <c r="C20" s="37"/>
      <c r="D20" s="37"/>
      <c r="E20" s="37"/>
      <c r="F20" s="9"/>
      <c r="G20" s="3"/>
      <c r="H20" s="3"/>
      <c r="I20" s="3"/>
      <c r="J20" s="3"/>
      <c r="K20" s="3" t="s">
        <v>38</v>
      </c>
      <c r="L20" s="3"/>
      <c r="M20" s="3"/>
      <c r="N20" s="3"/>
      <c r="O20" s="3"/>
      <c r="P20" s="3"/>
      <c r="Q20" s="3"/>
      <c r="R20" s="3"/>
      <c r="S20" s="8"/>
      <c r="T20" s="8"/>
      <c r="U20" s="8"/>
      <c r="V20" s="8"/>
      <c r="W20" s="6"/>
      <c r="X20" s="6"/>
      <c r="Y20" s="6"/>
      <c r="Z20" s="8"/>
      <c r="AA20" s="8"/>
      <c r="AB20" s="8"/>
      <c r="AC20" s="8"/>
      <c r="AD20" s="8"/>
      <c r="AE20" s="4"/>
      <c r="AN20" s="21">
        <f>1/21</f>
        <v>4.7619047619047616E-2</v>
      </c>
      <c r="AO20" s="21">
        <f>3/21</f>
        <v>0.14285714285714285</v>
      </c>
      <c r="AP20" s="21">
        <f>1/21</f>
        <v>4.7619047619047616E-2</v>
      </c>
      <c r="AQ20" s="21">
        <f>0/21</f>
        <v>0</v>
      </c>
    </row>
    <row r="21" spans="2:43" ht="31.2" outlineLevel="1" x14ac:dyDescent="0.3">
      <c r="B21" s="8">
        <v>13</v>
      </c>
      <c r="C21" s="8" t="s">
        <v>42</v>
      </c>
      <c r="D21" s="9" t="s">
        <v>43</v>
      </c>
      <c r="E21" s="9" t="s">
        <v>44</v>
      </c>
      <c r="F21" s="9" t="s">
        <v>72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"/>
      <c r="X21" s="7"/>
      <c r="Y21" s="8"/>
      <c r="Z21" s="8"/>
      <c r="AA21" s="8"/>
      <c r="AB21" s="8"/>
      <c r="AC21" s="8"/>
      <c r="AD21" s="8"/>
      <c r="AE21" s="4"/>
    </row>
    <row r="22" spans="2:43" outlineLevel="1" x14ac:dyDescent="0.3">
      <c r="B22" s="8">
        <v>14</v>
      </c>
      <c r="C22" s="8" t="s">
        <v>45</v>
      </c>
      <c r="D22" s="9" t="s">
        <v>46</v>
      </c>
      <c r="E22" s="8" t="s">
        <v>28</v>
      </c>
      <c r="F22" s="9" t="s">
        <v>72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  <c r="Z22" s="8"/>
      <c r="AA22" s="8"/>
      <c r="AB22" s="8"/>
      <c r="AC22" s="8"/>
      <c r="AD22" s="8"/>
      <c r="AE22" s="4"/>
    </row>
    <row r="23" spans="2:43" x14ac:dyDescent="0.3">
      <c r="B23" s="37" t="s">
        <v>47</v>
      </c>
      <c r="C23" s="37"/>
      <c r="D23" s="37"/>
      <c r="E23" s="37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8"/>
      <c r="W23" s="3"/>
      <c r="X23" s="3"/>
      <c r="Y23" s="3"/>
      <c r="Z23" s="6"/>
      <c r="AA23" s="6"/>
      <c r="AB23" s="8"/>
      <c r="AC23" s="8"/>
      <c r="AD23" s="8"/>
      <c r="AE23" s="4"/>
    </row>
    <row r="24" spans="2:43" outlineLevel="1" x14ac:dyDescent="0.3">
      <c r="B24" s="8">
        <v>15</v>
      </c>
      <c r="C24" s="8" t="s">
        <v>48</v>
      </c>
      <c r="D24" s="9" t="s">
        <v>49</v>
      </c>
      <c r="E24" s="8" t="s">
        <v>28</v>
      </c>
      <c r="F24" s="9" t="s">
        <v>72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7"/>
      <c r="AA24" s="7"/>
      <c r="AB24" s="8"/>
      <c r="AC24" s="8"/>
      <c r="AD24" s="8"/>
      <c r="AE24" s="4"/>
    </row>
    <row r="25" spans="2:43" outlineLevel="1" x14ac:dyDescent="0.3">
      <c r="B25" s="8">
        <v>16</v>
      </c>
      <c r="C25" s="8" t="s">
        <v>50</v>
      </c>
      <c r="D25" s="9" t="s">
        <v>51</v>
      </c>
      <c r="E25" s="8" t="s">
        <v>28</v>
      </c>
      <c r="F25" s="9" t="s">
        <v>72</v>
      </c>
      <c r="G25" s="8"/>
      <c r="H25" s="8"/>
      <c r="I25" s="8"/>
      <c r="J25" s="3"/>
      <c r="K25" s="3"/>
      <c r="L25" s="3"/>
      <c r="M25" s="3"/>
      <c r="N25" s="3"/>
      <c r="O25" s="3"/>
      <c r="P25" s="3"/>
      <c r="Q25" s="3"/>
      <c r="R25" s="3"/>
      <c r="S25" s="3"/>
      <c r="T25" s="8"/>
      <c r="U25" s="8"/>
      <c r="V25" s="8"/>
      <c r="W25" s="3"/>
      <c r="X25" s="3"/>
      <c r="Y25" s="3"/>
      <c r="Z25" s="7"/>
      <c r="AA25" s="7"/>
      <c r="AB25" s="8"/>
      <c r="AC25" s="8"/>
      <c r="AD25" s="8"/>
      <c r="AE25" s="4"/>
    </row>
    <row r="26" spans="2:43" ht="62.4" outlineLevel="1" x14ac:dyDescent="0.3">
      <c r="B26" s="8">
        <v>17</v>
      </c>
      <c r="C26" s="8" t="s">
        <v>52</v>
      </c>
      <c r="D26" s="9" t="s">
        <v>17</v>
      </c>
      <c r="E26" s="9" t="s">
        <v>18</v>
      </c>
      <c r="F26" s="9" t="s">
        <v>72</v>
      </c>
      <c r="G26" s="8"/>
      <c r="H26" s="8"/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8"/>
      <c r="W26" s="3"/>
      <c r="X26" s="3"/>
      <c r="Y26" s="3"/>
      <c r="Z26" s="3"/>
      <c r="AA26" s="7"/>
      <c r="AB26" s="3"/>
      <c r="AC26" s="3"/>
      <c r="AD26" s="8"/>
      <c r="AE26" s="4"/>
    </row>
    <row r="27" spans="2:43" x14ac:dyDescent="0.3">
      <c r="B27" s="37" t="s">
        <v>53</v>
      </c>
      <c r="C27" s="37"/>
      <c r="D27" s="37"/>
      <c r="E27" s="37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6"/>
      <c r="AB27" s="6"/>
      <c r="AC27" s="6"/>
      <c r="AD27" s="8"/>
      <c r="AE27" s="4"/>
    </row>
    <row r="28" spans="2:43" ht="31.2" outlineLevel="1" x14ac:dyDescent="0.3">
      <c r="B28" s="8">
        <v>18</v>
      </c>
      <c r="C28" s="8" t="s">
        <v>54</v>
      </c>
      <c r="D28" s="9" t="s">
        <v>55</v>
      </c>
      <c r="E28" s="9" t="s">
        <v>44</v>
      </c>
      <c r="F28" s="9" t="s">
        <v>72</v>
      </c>
      <c r="G28" s="8"/>
      <c r="H28" s="8"/>
      <c r="I28" s="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7"/>
      <c r="AB28" s="7"/>
      <c r="AC28" s="8"/>
      <c r="AD28" s="8"/>
      <c r="AE28" s="4"/>
    </row>
    <row r="29" spans="2:43" ht="62.4" outlineLevel="1" x14ac:dyDescent="0.3">
      <c r="B29" s="8">
        <v>19</v>
      </c>
      <c r="C29" s="8" t="s">
        <v>56</v>
      </c>
      <c r="D29" s="9" t="s">
        <v>57</v>
      </c>
      <c r="E29" s="9" t="s">
        <v>58</v>
      </c>
      <c r="F29" s="9" t="s">
        <v>72</v>
      </c>
      <c r="G29" s="8"/>
      <c r="H29" s="8"/>
      <c r="I29" s="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7"/>
      <c r="AC29" s="8"/>
      <c r="AD29" s="8"/>
      <c r="AE29" s="4"/>
    </row>
    <row r="30" spans="2:43" outlineLevel="1" x14ac:dyDescent="0.3">
      <c r="B30" s="8">
        <v>20</v>
      </c>
      <c r="C30" s="8" t="s">
        <v>59</v>
      </c>
      <c r="D30" s="9" t="s">
        <v>60</v>
      </c>
      <c r="E30" s="9" t="s">
        <v>61</v>
      </c>
      <c r="F30" s="9" t="s">
        <v>72</v>
      </c>
      <c r="G30" s="8"/>
      <c r="H30" s="8"/>
      <c r="I30" s="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7"/>
      <c r="AD30" s="8"/>
      <c r="AE30" s="4"/>
    </row>
    <row r="31" spans="2:43" x14ac:dyDescent="0.3">
      <c r="B31" s="37" t="s">
        <v>62</v>
      </c>
      <c r="C31" s="37"/>
      <c r="D31" s="37"/>
      <c r="E31" s="37"/>
      <c r="F31" s="1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8"/>
      <c r="U31" s="8"/>
      <c r="V31" s="8"/>
      <c r="W31" s="8"/>
      <c r="X31" s="3"/>
      <c r="Y31" s="3"/>
      <c r="Z31" s="3"/>
      <c r="AA31" s="3"/>
      <c r="AB31" s="8"/>
      <c r="AC31" s="8"/>
      <c r="AD31" s="6"/>
      <c r="AE31" s="4"/>
    </row>
    <row r="32" spans="2:43" outlineLevel="1" x14ac:dyDescent="0.3">
      <c r="B32" s="8">
        <v>21</v>
      </c>
      <c r="C32" s="8" t="s">
        <v>63</v>
      </c>
      <c r="D32" s="8" t="s">
        <v>63</v>
      </c>
      <c r="E32" s="8" t="s">
        <v>64</v>
      </c>
      <c r="F32" s="9" t="s">
        <v>72</v>
      </c>
      <c r="G32" s="8"/>
      <c r="H32" s="8"/>
      <c r="I32" s="8"/>
      <c r="J32" s="3"/>
      <c r="K32" s="3"/>
      <c r="L32" s="3"/>
      <c r="M32" s="3"/>
      <c r="N32" s="3"/>
      <c r="O32" s="3"/>
      <c r="P32" s="3"/>
      <c r="Q32" s="3"/>
      <c r="R32" s="3"/>
      <c r="S32" s="8"/>
      <c r="T32" s="8"/>
      <c r="U32" s="8"/>
      <c r="V32" s="8"/>
      <c r="W32" s="8"/>
      <c r="X32" s="3"/>
      <c r="Y32" s="3"/>
      <c r="Z32" s="3"/>
      <c r="AA32" s="8"/>
      <c r="AB32" s="8"/>
      <c r="AC32" s="8"/>
      <c r="AD32" s="7"/>
      <c r="AE32" s="4"/>
    </row>
    <row r="33" spans="19:30" x14ac:dyDescent="0.3">
      <c r="S33" s="4"/>
      <c r="T33" s="4"/>
      <c r="U33" s="4"/>
      <c r="V33" s="4"/>
      <c r="AA33" s="4"/>
      <c r="AB33" s="4"/>
      <c r="AC33" s="4"/>
      <c r="AD33" s="4"/>
    </row>
    <row r="34" spans="19:30" x14ac:dyDescent="0.3">
      <c r="S34" s="4"/>
      <c r="T34" s="4"/>
      <c r="U34" s="4"/>
      <c r="V34" s="4"/>
      <c r="AA34" s="4"/>
      <c r="AB34" s="4"/>
      <c r="AC34" s="4"/>
      <c r="AD34" s="4"/>
    </row>
  </sheetData>
  <mergeCells count="12">
    <mergeCell ref="AA4:AD4"/>
    <mergeCell ref="W4:Z4"/>
    <mergeCell ref="B31:E31"/>
    <mergeCell ref="G4:J4"/>
    <mergeCell ref="K4:N4"/>
    <mergeCell ref="O4:R4"/>
    <mergeCell ref="S4:V4"/>
    <mergeCell ref="B6:E6"/>
    <mergeCell ref="B14:E14"/>
    <mergeCell ref="B20:E20"/>
    <mergeCell ref="B23:E23"/>
    <mergeCell ref="B27:E2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E8CC-039E-45DE-A5F1-9744F21996A2}">
  <dimension ref="B1:AS34"/>
  <sheetViews>
    <sheetView tabSelected="1" topLeftCell="A10" zoomScale="70" zoomScaleNormal="70" workbookViewId="0">
      <selection activeCell="I16" sqref="I16"/>
    </sheetView>
  </sheetViews>
  <sheetFormatPr defaultColWidth="11" defaultRowHeight="15.6" outlineLevelRow="1" x14ac:dyDescent="0.3"/>
  <cols>
    <col min="1" max="1" width="11" style="1"/>
    <col min="2" max="2" width="3.69921875" style="1" customWidth="1"/>
    <col min="3" max="4" width="37.296875" style="1" customWidth="1"/>
    <col min="5" max="5" width="20.296875" style="1" customWidth="1"/>
    <col min="6" max="6" width="9.5" style="46" customWidth="1"/>
    <col min="7" max="7" width="11.59765625" style="46" customWidth="1"/>
    <col min="8" max="8" width="20.296875" style="1" customWidth="1"/>
    <col min="9" max="20" width="3.796875" style="1" customWidth="1"/>
    <col min="21" max="21" width="3.796875" style="29" customWidth="1"/>
    <col min="22" max="25" width="3.796875" style="1" customWidth="1"/>
    <col min="26" max="26" width="3.796875" style="29" customWidth="1"/>
    <col min="27" max="32" width="3.796875" style="1" customWidth="1"/>
    <col min="33" max="35" width="11" style="1"/>
    <col min="36" max="36" width="14.59765625" style="1" bestFit="1" customWidth="1"/>
    <col min="37" max="16384" width="11" style="1"/>
  </cols>
  <sheetData>
    <row r="1" spans="2:39" ht="18" x14ac:dyDescent="0.35">
      <c r="B1" s="17" t="s">
        <v>0</v>
      </c>
      <c r="C1" s="18"/>
      <c r="D1" s="18"/>
      <c r="E1" s="18"/>
      <c r="F1" s="43"/>
      <c r="G1" s="43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V1" s="18"/>
      <c r="W1" s="18"/>
      <c r="X1" s="18"/>
      <c r="Y1" s="18"/>
      <c r="AA1" s="18"/>
      <c r="AB1" s="18"/>
      <c r="AC1" s="18"/>
      <c r="AD1" s="18"/>
      <c r="AE1" s="18"/>
      <c r="AF1" s="18"/>
    </row>
    <row r="2" spans="2:39" ht="18" x14ac:dyDescent="0.35">
      <c r="B2" s="17" t="s">
        <v>1</v>
      </c>
      <c r="C2" s="18"/>
      <c r="D2" s="18"/>
      <c r="E2" s="18"/>
      <c r="F2" s="43"/>
      <c r="G2" s="4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V2" s="18"/>
      <c r="W2" s="18"/>
      <c r="X2" s="18"/>
      <c r="Y2" s="18"/>
      <c r="AA2" s="18"/>
      <c r="AB2" s="18"/>
      <c r="AC2" s="18"/>
      <c r="AD2" s="18"/>
      <c r="AE2" s="18"/>
      <c r="AF2" s="18"/>
    </row>
    <row r="3" spans="2:39" ht="18" x14ac:dyDescent="0.35">
      <c r="B3" s="17"/>
      <c r="C3" s="18"/>
      <c r="D3" s="18"/>
      <c r="E3" s="18"/>
      <c r="F3" s="43"/>
      <c r="G3" s="43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V3" s="18"/>
      <c r="W3" s="18"/>
      <c r="X3" s="18"/>
      <c r="Y3" s="18"/>
      <c r="AA3" s="18"/>
      <c r="AB3" s="18"/>
      <c r="AC3" s="18"/>
      <c r="AD3" s="18"/>
      <c r="AE3" s="18"/>
      <c r="AF3" s="18"/>
    </row>
    <row r="4" spans="2:39" ht="18" x14ac:dyDescent="0.35">
      <c r="B4" s="17"/>
      <c r="C4" s="18"/>
      <c r="D4" s="18"/>
      <c r="E4" s="18"/>
      <c r="F4" s="43"/>
      <c r="G4" s="43"/>
      <c r="H4" s="18"/>
      <c r="I4" s="35" t="s">
        <v>2</v>
      </c>
      <c r="J4" s="35"/>
      <c r="K4" s="35"/>
      <c r="L4" s="35"/>
      <c r="M4" s="35" t="s">
        <v>3</v>
      </c>
      <c r="N4" s="35"/>
      <c r="O4" s="35"/>
      <c r="P4" s="35"/>
      <c r="Q4" s="35" t="s">
        <v>4</v>
      </c>
      <c r="R4" s="35"/>
      <c r="S4" s="35"/>
      <c r="T4" s="35"/>
      <c r="U4" s="35" t="s">
        <v>5</v>
      </c>
      <c r="V4" s="35"/>
      <c r="W4" s="35"/>
      <c r="X4" s="35"/>
      <c r="Y4" s="35" t="s">
        <v>6</v>
      </c>
      <c r="Z4" s="35"/>
      <c r="AA4" s="35"/>
      <c r="AB4" s="35"/>
      <c r="AC4" s="36" t="s">
        <v>7</v>
      </c>
      <c r="AD4" s="36"/>
      <c r="AE4" s="36"/>
      <c r="AF4" s="36"/>
    </row>
    <row r="5" spans="2:39" s="2" customFormat="1" x14ac:dyDescent="0.3">
      <c r="B5" s="5" t="s">
        <v>8</v>
      </c>
      <c r="C5" s="5" t="s">
        <v>9</v>
      </c>
      <c r="D5" s="5" t="s">
        <v>10</v>
      </c>
      <c r="E5" s="5" t="s">
        <v>11</v>
      </c>
      <c r="F5" s="44" t="s">
        <v>78</v>
      </c>
      <c r="G5" s="44" t="s">
        <v>79</v>
      </c>
      <c r="H5" s="5" t="s">
        <v>71</v>
      </c>
      <c r="I5" s="5">
        <v>1</v>
      </c>
      <c r="J5" s="5">
        <f>I5+1</f>
        <v>2</v>
      </c>
      <c r="K5" s="5">
        <f t="shared" ref="K5:AE5" si="0">J5+1</f>
        <v>3</v>
      </c>
      <c r="L5" s="5">
        <f t="shared" si="0"/>
        <v>4</v>
      </c>
      <c r="M5" s="5">
        <f t="shared" si="0"/>
        <v>5</v>
      </c>
      <c r="N5" s="5">
        <f t="shared" si="0"/>
        <v>6</v>
      </c>
      <c r="O5" s="5">
        <f t="shared" si="0"/>
        <v>7</v>
      </c>
      <c r="P5" s="5">
        <f t="shared" si="0"/>
        <v>8</v>
      </c>
      <c r="Q5" s="5">
        <f t="shared" si="0"/>
        <v>9</v>
      </c>
      <c r="R5" s="5">
        <f t="shared" si="0"/>
        <v>10</v>
      </c>
      <c r="S5" s="5">
        <f t="shared" si="0"/>
        <v>11</v>
      </c>
      <c r="T5" s="5">
        <f t="shared" si="0"/>
        <v>12</v>
      </c>
      <c r="U5" s="30">
        <f t="shared" si="0"/>
        <v>13</v>
      </c>
      <c r="V5" s="5">
        <f t="shared" si="0"/>
        <v>14</v>
      </c>
      <c r="W5" s="5">
        <f t="shared" si="0"/>
        <v>15</v>
      </c>
      <c r="X5" s="5">
        <f t="shared" si="0"/>
        <v>16</v>
      </c>
      <c r="Y5" s="5">
        <f t="shared" si="0"/>
        <v>17</v>
      </c>
      <c r="Z5" s="30">
        <f t="shared" si="0"/>
        <v>18</v>
      </c>
      <c r="AA5" s="5">
        <f t="shared" si="0"/>
        <v>19</v>
      </c>
      <c r="AB5" s="5">
        <f t="shared" si="0"/>
        <v>20</v>
      </c>
      <c r="AC5" s="5">
        <f t="shared" si="0"/>
        <v>21</v>
      </c>
      <c r="AD5" s="5">
        <f t="shared" si="0"/>
        <v>22</v>
      </c>
      <c r="AE5" s="5">
        <f t="shared" si="0"/>
        <v>23</v>
      </c>
      <c r="AF5" s="5">
        <f>AE5+1</f>
        <v>24</v>
      </c>
    </row>
    <row r="6" spans="2:39" x14ac:dyDescent="0.3">
      <c r="B6" s="37" t="s">
        <v>12</v>
      </c>
      <c r="C6" s="37"/>
      <c r="D6" s="37"/>
      <c r="E6" s="37"/>
      <c r="F6" s="45"/>
      <c r="G6" s="45"/>
      <c r="H6" s="19"/>
      <c r="I6" s="6"/>
      <c r="J6" s="6"/>
      <c r="K6" s="6"/>
      <c r="L6" s="6"/>
      <c r="M6" s="6"/>
      <c r="N6" s="3"/>
      <c r="O6" s="3"/>
      <c r="P6" s="3"/>
      <c r="Q6" s="3"/>
      <c r="R6" s="3"/>
      <c r="S6" s="3"/>
      <c r="T6" s="3"/>
      <c r="U6" s="31"/>
      <c r="V6" s="3"/>
      <c r="W6" s="3"/>
      <c r="X6" s="3"/>
      <c r="Y6" s="3"/>
      <c r="Z6" s="31"/>
      <c r="AA6" s="3"/>
      <c r="AB6" s="3"/>
      <c r="AC6" s="3"/>
      <c r="AD6" s="3"/>
      <c r="AE6" s="3"/>
      <c r="AF6" s="3"/>
    </row>
    <row r="7" spans="2:39" ht="78" outlineLevel="1" x14ac:dyDescent="0.3">
      <c r="B7" s="8">
        <v>1</v>
      </c>
      <c r="C7" s="8" t="s">
        <v>13</v>
      </c>
      <c r="D7" s="9" t="s">
        <v>14</v>
      </c>
      <c r="E7" s="9" t="s">
        <v>15</v>
      </c>
      <c r="F7" s="40">
        <v>1</v>
      </c>
      <c r="G7" s="40">
        <v>1</v>
      </c>
      <c r="H7" s="26" t="s">
        <v>74</v>
      </c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32"/>
      <c r="V7" s="8"/>
      <c r="W7" s="8"/>
      <c r="X7" s="8"/>
      <c r="Y7" s="8"/>
      <c r="Z7" s="32"/>
      <c r="AA7" s="8"/>
      <c r="AB7" s="8"/>
      <c r="AC7" s="8"/>
      <c r="AD7" s="8"/>
      <c r="AE7" s="8"/>
      <c r="AF7" s="8"/>
      <c r="AJ7" s="16"/>
      <c r="AK7" s="16"/>
      <c r="AL7" s="16"/>
      <c r="AM7" s="16"/>
    </row>
    <row r="8" spans="2:39" ht="62.4" outlineLevel="1" x14ac:dyDescent="0.3">
      <c r="B8" s="8">
        <v>2</v>
      </c>
      <c r="C8" s="8" t="s">
        <v>16</v>
      </c>
      <c r="D8" s="9" t="s">
        <v>17</v>
      </c>
      <c r="E8" s="9" t="s">
        <v>18</v>
      </c>
      <c r="F8" s="40">
        <v>1</v>
      </c>
      <c r="G8" s="40">
        <v>1</v>
      </c>
      <c r="H8" s="26" t="s">
        <v>74</v>
      </c>
      <c r="I8" s="10" t="s">
        <v>19</v>
      </c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32"/>
      <c r="V8" s="8"/>
      <c r="W8" s="8"/>
      <c r="X8" s="8"/>
      <c r="Y8" s="8"/>
      <c r="Z8" s="32"/>
      <c r="AA8" s="8"/>
      <c r="AB8" s="8"/>
      <c r="AC8" s="8"/>
      <c r="AD8" s="8"/>
      <c r="AE8" s="8"/>
      <c r="AF8" s="8"/>
      <c r="AG8" s="21">
        <f>(4/5)*100%</f>
        <v>0.8</v>
      </c>
      <c r="AH8" s="21">
        <f>(7/7)*100%</f>
        <v>1</v>
      </c>
      <c r="AK8" s="22"/>
      <c r="AL8" s="21"/>
    </row>
    <row r="9" spans="2:39" ht="31.2" outlineLevel="1" x14ac:dyDescent="0.3">
      <c r="B9" s="8">
        <v>3</v>
      </c>
      <c r="C9" s="8" t="s">
        <v>20</v>
      </c>
      <c r="D9" s="9" t="s">
        <v>21</v>
      </c>
      <c r="E9" s="9" t="s">
        <v>22</v>
      </c>
      <c r="F9" s="40">
        <v>1</v>
      </c>
      <c r="G9" s="40">
        <v>1</v>
      </c>
      <c r="H9" s="26" t="s">
        <v>74</v>
      </c>
      <c r="I9" s="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32"/>
      <c r="V9" s="8"/>
      <c r="W9" s="8"/>
      <c r="X9" s="8"/>
      <c r="Y9" s="8"/>
      <c r="Z9" s="32"/>
      <c r="AA9" s="8"/>
      <c r="AB9" s="8"/>
      <c r="AC9" s="8"/>
      <c r="AD9" s="8"/>
      <c r="AE9" s="8"/>
      <c r="AF9" s="8"/>
      <c r="AJ9" s="24" t="s">
        <v>72</v>
      </c>
      <c r="AK9" s="25">
        <f>8/21</f>
        <v>0.38095238095238093</v>
      </c>
    </row>
    <row r="10" spans="2:39" ht="31.2" outlineLevel="1" x14ac:dyDescent="0.3">
      <c r="B10" s="8">
        <v>4</v>
      </c>
      <c r="C10" s="8" t="s">
        <v>67</v>
      </c>
      <c r="D10" s="9" t="s">
        <v>69</v>
      </c>
      <c r="E10" s="9" t="s">
        <v>70</v>
      </c>
      <c r="F10" s="40">
        <v>1</v>
      </c>
      <c r="G10" s="40">
        <v>1</v>
      </c>
      <c r="H10" s="26" t="s">
        <v>74</v>
      </c>
      <c r="I10" s="8"/>
      <c r="J10" s="7"/>
      <c r="K10" s="7"/>
      <c r="L10" s="8"/>
      <c r="M10" s="8"/>
      <c r="N10" s="8"/>
      <c r="O10" s="8"/>
      <c r="P10" s="8"/>
      <c r="Q10" s="8"/>
      <c r="R10" s="8"/>
      <c r="S10" s="8"/>
      <c r="T10" s="8"/>
      <c r="U10" s="32"/>
      <c r="V10" s="8"/>
      <c r="W10" s="8"/>
      <c r="X10" s="8"/>
      <c r="Y10" s="8"/>
      <c r="Z10" s="32"/>
      <c r="AA10" s="8"/>
      <c r="AB10" s="8"/>
      <c r="AC10" s="8"/>
      <c r="AD10" s="8"/>
      <c r="AE10" s="8"/>
      <c r="AF10" s="8"/>
      <c r="AG10" s="21">
        <f>(3/5)*100%</f>
        <v>0.6</v>
      </c>
      <c r="AJ10" s="24" t="s">
        <v>73</v>
      </c>
      <c r="AK10" s="25">
        <f>1/21</f>
        <v>4.7619047619047616E-2</v>
      </c>
      <c r="AM10" s="1" t="s">
        <v>77</v>
      </c>
    </row>
    <row r="11" spans="2:39" ht="31.2" outlineLevel="1" x14ac:dyDescent="0.3">
      <c r="B11" s="8">
        <v>5</v>
      </c>
      <c r="C11" s="8" t="s">
        <v>23</v>
      </c>
      <c r="D11" s="9" t="s">
        <v>24</v>
      </c>
      <c r="E11" s="9" t="s">
        <v>25</v>
      </c>
      <c r="F11" s="40">
        <v>1</v>
      </c>
      <c r="G11" s="40">
        <v>1</v>
      </c>
      <c r="H11" s="26" t="s">
        <v>74</v>
      </c>
      <c r="I11" s="11"/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32"/>
      <c r="V11" s="8"/>
      <c r="W11" s="8"/>
      <c r="X11" s="8"/>
      <c r="Y11" s="8"/>
      <c r="Z11" s="32"/>
      <c r="AA11" s="8"/>
      <c r="AB11" s="8"/>
      <c r="AC11" s="8"/>
      <c r="AD11" s="8"/>
      <c r="AE11" s="8"/>
      <c r="AF11" s="8"/>
      <c r="AJ11" s="24" t="s">
        <v>74</v>
      </c>
      <c r="AK11" s="25">
        <f>11/21</f>
        <v>0.52380952380952384</v>
      </c>
    </row>
    <row r="12" spans="2:39" outlineLevel="1" x14ac:dyDescent="0.3">
      <c r="B12" s="8">
        <v>6</v>
      </c>
      <c r="C12" s="8" t="s">
        <v>26</v>
      </c>
      <c r="D12" s="8" t="s">
        <v>27</v>
      </c>
      <c r="E12" s="8" t="s">
        <v>28</v>
      </c>
      <c r="F12" s="40">
        <v>1</v>
      </c>
      <c r="G12" s="40">
        <v>1</v>
      </c>
      <c r="H12" s="26" t="s">
        <v>74</v>
      </c>
      <c r="I12" s="8"/>
      <c r="J12" s="8"/>
      <c r="K12" s="8"/>
      <c r="L12" s="8"/>
      <c r="M12" s="7"/>
      <c r="N12" s="8"/>
      <c r="O12" s="8"/>
      <c r="P12" s="8"/>
      <c r="Q12" s="8"/>
      <c r="R12" s="8"/>
      <c r="S12" s="8"/>
      <c r="T12" s="8"/>
      <c r="U12" s="32"/>
      <c r="V12" s="8"/>
      <c r="W12" s="8"/>
      <c r="X12" s="8"/>
      <c r="Y12" s="8"/>
      <c r="Z12" s="32"/>
      <c r="AA12" s="8"/>
      <c r="AB12" s="8"/>
      <c r="AC12" s="8"/>
      <c r="AD12" s="8"/>
      <c r="AE12" s="8"/>
      <c r="AF12" s="8"/>
      <c r="AJ12" s="24" t="s">
        <v>76</v>
      </c>
      <c r="AK12" s="25">
        <f>1/21</f>
        <v>4.7619047619047616E-2</v>
      </c>
    </row>
    <row r="13" spans="2:39" outlineLevel="1" x14ac:dyDescent="0.3">
      <c r="B13" s="8">
        <v>7</v>
      </c>
      <c r="C13" s="8" t="s">
        <v>29</v>
      </c>
      <c r="D13" s="8" t="s">
        <v>30</v>
      </c>
      <c r="E13" s="8" t="s">
        <v>28</v>
      </c>
      <c r="F13" s="40">
        <v>1</v>
      </c>
      <c r="G13" s="40">
        <v>1</v>
      </c>
      <c r="H13" s="26" t="s">
        <v>74</v>
      </c>
      <c r="I13" s="8"/>
      <c r="J13" s="8"/>
      <c r="K13" s="8"/>
      <c r="L13" s="8"/>
      <c r="M13" s="7"/>
      <c r="N13" s="8"/>
      <c r="O13" s="8"/>
      <c r="P13" s="8"/>
      <c r="Q13" s="8"/>
      <c r="R13" s="8"/>
      <c r="S13" s="8"/>
      <c r="T13" s="8"/>
      <c r="U13" s="32"/>
      <c r="V13" s="8"/>
      <c r="W13" s="8"/>
      <c r="X13" s="8"/>
      <c r="Y13" s="8"/>
      <c r="Z13" s="32"/>
      <c r="AA13" s="8"/>
      <c r="AB13" s="8"/>
      <c r="AC13" s="8"/>
      <c r="AD13" s="8"/>
      <c r="AE13" s="8"/>
      <c r="AF13" s="8"/>
    </row>
    <row r="14" spans="2:39" x14ac:dyDescent="0.3">
      <c r="B14" s="37" t="s">
        <v>31</v>
      </c>
      <c r="C14" s="37"/>
      <c r="D14" s="37"/>
      <c r="E14" s="37"/>
      <c r="F14" s="45"/>
      <c r="G14" s="45"/>
      <c r="H14" s="9"/>
      <c r="I14" s="3"/>
      <c r="J14" s="3"/>
      <c r="K14" s="3"/>
      <c r="L14" s="3"/>
      <c r="M14" s="3"/>
      <c r="N14" s="6"/>
      <c r="O14" s="6"/>
      <c r="P14" s="6"/>
      <c r="Q14" s="6"/>
      <c r="R14" s="6"/>
      <c r="S14" s="6"/>
      <c r="T14" s="6"/>
      <c r="U14" s="32"/>
      <c r="V14" s="6"/>
      <c r="W14" s="6"/>
      <c r="X14" s="6"/>
      <c r="Y14" s="6"/>
      <c r="Z14" s="32"/>
      <c r="AA14" s="8"/>
      <c r="AB14" s="8"/>
      <c r="AC14" s="8"/>
      <c r="AD14" s="8"/>
      <c r="AE14" s="8"/>
      <c r="AF14" s="8"/>
    </row>
    <row r="15" spans="2:39" ht="31.2" outlineLevel="1" x14ac:dyDescent="0.3">
      <c r="B15" s="8">
        <v>8</v>
      </c>
      <c r="C15" s="8" t="s">
        <v>32</v>
      </c>
      <c r="D15" s="9" t="s">
        <v>33</v>
      </c>
      <c r="E15" s="8" t="s">
        <v>68</v>
      </c>
      <c r="F15" s="40">
        <v>1</v>
      </c>
      <c r="G15" s="40">
        <v>1</v>
      </c>
      <c r="H15" s="26" t="s">
        <v>74</v>
      </c>
      <c r="I15" s="8"/>
      <c r="J15" s="8"/>
      <c r="K15" s="8"/>
      <c r="L15" s="8"/>
      <c r="M15" s="3"/>
      <c r="N15" s="7"/>
      <c r="O15" s="7"/>
      <c r="P15" s="7"/>
      <c r="Q15" s="8"/>
      <c r="R15" s="8"/>
      <c r="S15" s="8"/>
      <c r="T15" s="8"/>
      <c r="U15" s="32"/>
      <c r="V15" s="8"/>
      <c r="W15" s="8"/>
      <c r="X15" s="8"/>
      <c r="Y15" s="8"/>
      <c r="Z15" s="32"/>
      <c r="AA15" s="8"/>
      <c r="AB15" s="8"/>
      <c r="AC15" s="8"/>
      <c r="AD15" s="8"/>
      <c r="AE15" s="8"/>
      <c r="AF15" s="8"/>
      <c r="AG15" s="4"/>
    </row>
    <row r="16" spans="2:39" s="16" customFormat="1" ht="24.6" customHeight="1" outlineLevel="1" x14ac:dyDescent="0.3">
      <c r="B16" s="12">
        <v>9</v>
      </c>
      <c r="C16" s="12" t="s">
        <v>65</v>
      </c>
      <c r="D16" s="13"/>
      <c r="E16" s="13" t="s">
        <v>61</v>
      </c>
      <c r="F16" s="40">
        <v>1</v>
      </c>
      <c r="G16" s="40">
        <v>1</v>
      </c>
      <c r="H16" s="26" t="s">
        <v>74</v>
      </c>
      <c r="I16" s="12"/>
      <c r="J16" s="12"/>
      <c r="K16" s="12"/>
      <c r="L16" s="12"/>
      <c r="M16" s="14"/>
      <c r="N16" s="15"/>
      <c r="O16" s="15"/>
      <c r="P16" s="7"/>
      <c r="Q16" s="20"/>
      <c r="R16" s="12"/>
      <c r="S16" s="12"/>
      <c r="T16" s="12"/>
      <c r="U16" s="33"/>
      <c r="V16" s="12"/>
      <c r="W16" s="12"/>
      <c r="X16" s="12"/>
      <c r="Y16" s="12"/>
      <c r="Z16" s="33"/>
      <c r="AA16" s="12"/>
      <c r="AB16" s="12"/>
      <c r="AC16" s="12"/>
      <c r="AD16" s="12"/>
      <c r="AE16" s="12"/>
      <c r="AF16" s="12"/>
      <c r="AJ16" s="23"/>
    </row>
    <row r="17" spans="2:45" ht="62.4" outlineLevel="1" x14ac:dyDescent="0.3">
      <c r="B17" s="8">
        <v>10</v>
      </c>
      <c r="C17" s="8" t="s">
        <v>34</v>
      </c>
      <c r="D17" s="9" t="s">
        <v>66</v>
      </c>
      <c r="E17" s="9" t="s">
        <v>25</v>
      </c>
      <c r="F17" s="40">
        <v>1</v>
      </c>
      <c r="G17" s="40">
        <v>1</v>
      </c>
      <c r="H17" s="26" t="s">
        <v>74</v>
      </c>
      <c r="I17" s="10" t="s">
        <v>19</v>
      </c>
      <c r="J17" s="8"/>
      <c r="K17" s="8"/>
      <c r="L17" s="8"/>
      <c r="M17" s="8"/>
      <c r="N17" s="8"/>
      <c r="O17" s="8"/>
      <c r="P17" s="8"/>
      <c r="Q17" s="7"/>
      <c r="R17" s="8"/>
      <c r="S17" s="8"/>
      <c r="T17" s="8"/>
      <c r="U17" s="32"/>
      <c r="V17" s="8"/>
      <c r="W17" s="8"/>
      <c r="X17" s="8"/>
      <c r="Y17" s="8"/>
      <c r="Z17" s="32"/>
      <c r="AA17" s="8"/>
      <c r="AB17" s="8"/>
      <c r="AC17" s="8"/>
      <c r="AD17" s="8"/>
      <c r="AE17" s="8"/>
      <c r="AF17" s="8"/>
    </row>
    <row r="18" spans="2:45" ht="31.2" outlineLevel="1" x14ac:dyDescent="0.3">
      <c r="B18" s="12">
        <v>11</v>
      </c>
      <c r="C18" s="12" t="s">
        <v>35</v>
      </c>
      <c r="D18" s="9" t="s">
        <v>36</v>
      </c>
      <c r="E18" s="9" t="s">
        <v>37</v>
      </c>
      <c r="F18" s="40">
        <v>1</v>
      </c>
      <c r="G18" s="40">
        <v>0.75</v>
      </c>
      <c r="H18" s="38" t="s">
        <v>76</v>
      </c>
      <c r="I18" s="8"/>
      <c r="J18" s="8"/>
      <c r="K18" s="8"/>
      <c r="L18" s="8" t="s">
        <v>38</v>
      </c>
      <c r="M18" s="8"/>
      <c r="N18" s="8"/>
      <c r="O18" s="8"/>
      <c r="P18" s="8"/>
      <c r="Q18" s="7"/>
      <c r="R18" s="7"/>
      <c r="S18" s="7"/>
      <c r="T18" s="7"/>
      <c r="U18" s="32"/>
      <c r="V18" s="7"/>
      <c r="W18" s="7"/>
      <c r="X18" s="7"/>
      <c r="Y18" s="7"/>
      <c r="Z18" s="32"/>
      <c r="AA18" s="8"/>
      <c r="AB18" s="8"/>
      <c r="AC18" s="8"/>
      <c r="AD18" s="8"/>
      <c r="AE18" s="8"/>
      <c r="AF18" s="8"/>
      <c r="AG18" s="4"/>
      <c r="AP18" s="21"/>
    </row>
    <row r="19" spans="2:45" ht="31.2" outlineLevel="1" x14ac:dyDescent="0.3">
      <c r="B19" s="8">
        <v>12</v>
      </c>
      <c r="C19" s="8" t="s">
        <v>39</v>
      </c>
      <c r="D19" s="9" t="s">
        <v>40</v>
      </c>
      <c r="E19" s="9" t="s">
        <v>37</v>
      </c>
      <c r="F19" s="40">
        <v>1</v>
      </c>
      <c r="G19" s="40">
        <v>1</v>
      </c>
      <c r="H19" s="26" t="s">
        <v>74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32"/>
      <c r="V19" s="8"/>
      <c r="W19" s="8"/>
      <c r="X19" s="7"/>
      <c r="Y19" s="8"/>
      <c r="Z19" s="32"/>
      <c r="AA19" s="8"/>
      <c r="AB19" s="8"/>
      <c r="AC19" s="8"/>
      <c r="AD19" s="8"/>
      <c r="AE19" s="8"/>
      <c r="AF19" s="8"/>
      <c r="AG19" s="4"/>
    </row>
    <row r="20" spans="2:45" x14ac:dyDescent="0.3">
      <c r="B20" s="37" t="s">
        <v>41</v>
      </c>
      <c r="C20" s="37"/>
      <c r="D20" s="37"/>
      <c r="E20" s="37"/>
      <c r="F20" s="45"/>
      <c r="G20" s="45"/>
      <c r="H20" s="28"/>
      <c r="I20" s="3"/>
      <c r="J20" s="3"/>
      <c r="K20" s="3"/>
      <c r="L20" s="3"/>
      <c r="M20" s="3" t="s">
        <v>38</v>
      </c>
      <c r="N20" s="3"/>
      <c r="O20" s="3"/>
      <c r="P20" s="3"/>
      <c r="Q20" s="3"/>
      <c r="R20" s="3"/>
      <c r="S20" s="3"/>
      <c r="T20" s="3"/>
      <c r="U20" s="32"/>
      <c r="V20" s="8"/>
      <c r="W20" s="8"/>
      <c r="X20" s="8"/>
      <c r="Y20" s="6"/>
      <c r="Z20" s="32"/>
      <c r="AA20" s="6"/>
      <c r="AB20" s="8"/>
      <c r="AC20" s="8"/>
      <c r="AD20" s="8"/>
      <c r="AE20" s="8"/>
      <c r="AF20" s="8"/>
      <c r="AG20" s="4"/>
      <c r="AP20" s="21"/>
      <c r="AQ20" s="21"/>
      <c r="AR20" s="21"/>
      <c r="AS20" s="21"/>
    </row>
    <row r="21" spans="2:45" ht="31.2" outlineLevel="1" x14ac:dyDescent="0.3">
      <c r="B21" s="8">
        <v>13</v>
      </c>
      <c r="C21" s="8" t="s">
        <v>42</v>
      </c>
      <c r="D21" s="9" t="s">
        <v>43</v>
      </c>
      <c r="E21" s="9" t="s">
        <v>44</v>
      </c>
      <c r="F21" s="40">
        <v>1</v>
      </c>
      <c r="G21" s="40">
        <v>0.25</v>
      </c>
      <c r="H21" s="39" t="s">
        <v>73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32"/>
      <c r="V21" s="8"/>
      <c r="W21" s="8"/>
      <c r="X21" s="8"/>
      <c r="Y21" s="7"/>
      <c r="Z21" s="41"/>
      <c r="AA21" s="8"/>
      <c r="AB21" s="8"/>
      <c r="AC21" s="8"/>
      <c r="AD21" s="8"/>
      <c r="AE21" s="8"/>
      <c r="AF21" s="8"/>
      <c r="AG21" s="4"/>
    </row>
    <row r="22" spans="2:45" outlineLevel="1" x14ac:dyDescent="0.3">
      <c r="B22" s="8">
        <v>14</v>
      </c>
      <c r="C22" s="8" t="s">
        <v>45</v>
      </c>
      <c r="D22" s="9" t="s">
        <v>46</v>
      </c>
      <c r="E22" s="8" t="s">
        <v>28</v>
      </c>
      <c r="F22" s="42">
        <v>0</v>
      </c>
      <c r="G22" s="42">
        <v>0</v>
      </c>
      <c r="H22" s="27" t="s">
        <v>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32"/>
      <c r="V22" s="8"/>
      <c r="W22" s="8"/>
      <c r="X22" s="8"/>
      <c r="Y22" s="8"/>
      <c r="Z22" s="32"/>
      <c r="AA22" s="7"/>
      <c r="AB22" s="8"/>
      <c r="AC22" s="8"/>
      <c r="AD22" s="8"/>
      <c r="AE22" s="8"/>
      <c r="AF22" s="8"/>
      <c r="AG22" s="4"/>
    </row>
    <row r="23" spans="2:45" x14ac:dyDescent="0.3">
      <c r="B23" s="37" t="s">
        <v>47</v>
      </c>
      <c r="C23" s="37"/>
      <c r="D23" s="37"/>
      <c r="E23" s="37"/>
      <c r="F23" s="45"/>
      <c r="G23" s="45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1"/>
      <c r="V23" s="3"/>
      <c r="W23" s="3"/>
      <c r="X23" s="8"/>
      <c r="Y23" s="3"/>
      <c r="Z23" s="31"/>
      <c r="AA23" s="3"/>
      <c r="AB23" s="6"/>
      <c r="AC23" s="6"/>
      <c r="AD23" s="8"/>
      <c r="AE23" s="8"/>
      <c r="AF23" s="8"/>
      <c r="AG23" s="4"/>
    </row>
    <row r="24" spans="2:45" outlineLevel="1" x14ac:dyDescent="0.3">
      <c r="B24" s="8">
        <v>15</v>
      </c>
      <c r="C24" s="8" t="s">
        <v>48</v>
      </c>
      <c r="D24" s="9" t="s">
        <v>49</v>
      </c>
      <c r="E24" s="8" t="s">
        <v>28</v>
      </c>
      <c r="F24" s="42">
        <v>0</v>
      </c>
      <c r="G24" s="42">
        <v>0</v>
      </c>
      <c r="H24" s="27" t="s">
        <v>72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32"/>
      <c r="V24" s="8"/>
      <c r="W24" s="8"/>
      <c r="X24" s="8"/>
      <c r="Y24" s="8"/>
      <c r="Z24" s="32"/>
      <c r="AA24" s="8"/>
      <c r="AB24" s="7"/>
      <c r="AC24" s="7"/>
      <c r="AD24" s="8"/>
      <c r="AE24" s="8"/>
      <c r="AF24" s="8"/>
      <c r="AG24" s="4"/>
    </row>
    <row r="25" spans="2:45" outlineLevel="1" x14ac:dyDescent="0.3">
      <c r="B25" s="8">
        <v>16</v>
      </c>
      <c r="C25" s="8" t="s">
        <v>50</v>
      </c>
      <c r="D25" s="9" t="s">
        <v>51</v>
      </c>
      <c r="E25" s="8" t="s">
        <v>28</v>
      </c>
      <c r="F25" s="42">
        <v>0</v>
      </c>
      <c r="G25" s="42">
        <v>0</v>
      </c>
      <c r="H25" s="27" t="s">
        <v>72</v>
      </c>
      <c r="I25" s="8"/>
      <c r="J25" s="8"/>
      <c r="K25" s="8"/>
      <c r="L25" s="3"/>
      <c r="M25" s="3"/>
      <c r="N25" s="3"/>
      <c r="O25" s="3"/>
      <c r="P25" s="3"/>
      <c r="Q25" s="3"/>
      <c r="R25" s="3"/>
      <c r="S25" s="3"/>
      <c r="T25" s="3"/>
      <c r="U25" s="31"/>
      <c r="V25" s="8"/>
      <c r="W25" s="8"/>
      <c r="X25" s="8"/>
      <c r="Y25" s="3"/>
      <c r="Z25" s="31"/>
      <c r="AA25" s="3"/>
      <c r="AB25" s="7"/>
      <c r="AC25" s="7"/>
      <c r="AD25" s="8"/>
      <c r="AE25" s="8"/>
      <c r="AF25" s="8"/>
      <c r="AG25" s="4"/>
    </row>
    <row r="26" spans="2:45" ht="62.4" outlineLevel="1" x14ac:dyDescent="0.3">
      <c r="B26" s="8">
        <v>17</v>
      </c>
      <c r="C26" s="8" t="s">
        <v>52</v>
      </c>
      <c r="D26" s="9" t="s">
        <v>17</v>
      </c>
      <c r="E26" s="9" t="s">
        <v>18</v>
      </c>
      <c r="F26" s="42">
        <v>0</v>
      </c>
      <c r="G26" s="42">
        <v>0</v>
      </c>
      <c r="H26" s="27" t="s">
        <v>72</v>
      </c>
      <c r="I26" s="8"/>
      <c r="J26" s="8"/>
      <c r="K26" s="8"/>
      <c r="L26" s="3"/>
      <c r="M26" s="3"/>
      <c r="N26" s="3"/>
      <c r="O26" s="3"/>
      <c r="P26" s="3"/>
      <c r="Q26" s="3"/>
      <c r="R26" s="3"/>
      <c r="S26" s="3"/>
      <c r="T26" s="3"/>
      <c r="U26" s="31"/>
      <c r="V26" s="3"/>
      <c r="W26" s="3"/>
      <c r="X26" s="8"/>
      <c r="Y26" s="3"/>
      <c r="Z26" s="31"/>
      <c r="AA26" s="3"/>
      <c r="AB26" s="3"/>
      <c r="AC26" s="7"/>
      <c r="AD26" s="3"/>
      <c r="AE26" s="3"/>
      <c r="AF26" s="8"/>
      <c r="AG26" s="4"/>
    </row>
    <row r="27" spans="2:45" x14ac:dyDescent="0.3">
      <c r="B27" s="37" t="s">
        <v>53</v>
      </c>
      <c r="C27" s="37"/>
      <c r="D27" s="37"/>
      <c r="E27" s="37"/>
      <c r="F27" s="45"/>
      <c r="G27" s="45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1"/>
      <c r="V27" s="3"/>
      <c r="W27" s="3"/>
      <c r="X27" s="3"/>
      <c r="Y27" s="3"/>
      <c r="Z27" s="31"/>
      <c r="AA27" s="3"/>
      <c r="AB27" s="3"/>
      <c r="AC27" s="6"/>
      <c r="AD27" s="6"/>
      <c r="AE27" s="6"/>
      <c r="AF27" s="8"/>
      <c r="AG27" s="4"/>
    </row>
    <row r="28" spans="2:45" ht="31.2" outlineLevel="1" x14ac:dyDescent="0.3">
      <c r="B28" s="8">
        <v>18</v>
      </c>
      <c r="C28" s="8" t="s">
        <v>54</v>
      </c>
      <c r="D28" s="9" t="s">
        <v>55</v>
      </c>
      <c r="E28" s="9" t="s">
        <v>44</v>
      </c>
      <c r="F28" s="42">
        <v>0</v>
      </c>
      <c r="G28" s="42">
        <v>0</v>
      </c>
      <c r="H28" s="27" t="s">
        <v>72</v>
      </c>
      <c r="I28" s="8"/>
      <c r="J28" s="8"/>
      <c r="K28" s="8"/>
      <c r="L28" s="3"/>
      <c r="M28" s="3"/>
      <c r="N28" s="3"/>
      <c r="O28" s="3"/>
      <c r="P28" s="3"/>
      <c r="Q28" s="3"/>
      <c r="R28" s="3"/>
      <c r="S28" s="3"/>
      <c r="T28" s="3"/>
      <c r="U28" s="31"/>
      <c r="V28" s="3"/>
      <c r="W28" s="3"/>
      <c r="X28" s="3"/>
      <c r="Y28" s="3"/>
      <c r="Z28" s="31"/>
      <c r="AA28" s="3"/>
      <c r="AB28" s="3"/>
      <c r="AC28" s="7"/>
      <c r="AD28" s="7"/>
      <c r="AE28" s="8"/>
      <c r="AF28" s="8"/>
      <c r="AG28" s="4"/>
    </row>
    <row r="29" spans="2:45" ht="62.4" outlineLevel="1" x14ac:dyDescent="0.3">
      <c r="B29" s="8">
        <v>19</v>
      </c>
      <c r="C29" s="8" t="s">
        <v>56</v>
      </c>
      <c r="D29" s="9" t="s">
        <v>57</v>
      </c>
      <c r="E29" s="9" t="s">
        <v>58</v>
      </c>
      <c r="F29" s="42">
        <v>0</v>
      </c>
      <c r="G29" s="42">
        <v>0</v>
      </c>
      <c r="H29" s="27" t="s">
        <v>72</v>
      </c>
      <c r="I29" s="8"/>
      <c r="J29" s="8"/>
      <c r="K29" s="8"/>
      <c r="L29" s="3"/>
      <c r="M29" s="3"/>
      <c r="N29" s="3"/>
      <c r="O29" s="3"/>
      <c r="P29" s="3"/>
      <c r="Q29" s="3"/>
      <c r="R29" s="3"/>
      <c r="S29" s="3"/>
      <c r="T29" s="3"/>
      <c r="U29" s="31"/>
      <c r="V29" s="3"/>
      <c r="W29" s="3"/>
      <c r="X29" s="3"/>
      <c r="Y29" s="3"/>
      <c r="Z29" s="31"/>
      <c r="AA29" s="3"/>
      <c r="AB29" s="3"/>
      <c r="AC29" s="3"/>
      <c r="AD29" s="7"/>
      <c r="AE29" s="8"/>
      <c r="AF29" s="8"/>
      <c r="AG29" s="4"/>
    </row>
    <row r="30" spans="2:45" outlineLevel="1" x14ac:dyDescent="0.3">
      <c r="B30" s="8">
        <v>20</v>
      </c>
      <c r="C30" s="8" t="s">
        <v>59</v>
      </c>
      <c r="D30" s="9" t="s">
        <v>60</v>
      </c>
      <c r="E30" s="9" t="s">
        <v>61</v>
      </c>
      <c r="F30" s="42">
        <v>0</v>
      </c>
      <c r="G30" s="42">
        <v>0</v>
      </c>
      <c r="H30" s="27" t="s">
        <v>72</v>
      </c>
      <c r="I30" s="8"/>
      <c r="J30" s="8"/>
      <c r="K30" s="8"/>
      <c r="L30" s="3"/>
      <c r="M30" s="3"/>
      <c r="N30" s="3"/>
      <c r="O30" s="3"/>
      <c r="P30" s="3"/>
      <c r="Q30" s="3"/>
      <c r="R30" s="3"/>
      <c r="S30" s="3"/>
      <c r="T30" s="3"/>
      <c r="U30" s="31"/>
      <c r="V30" s="3"/>
      <c r="W30" s="3"/>
      <c r="X30" s="3"/>
      <c r="Y30" s="3"/>
      <c r="Z30" s="31"/>
      <c r="AA30" s="3"/>
      <c r="AB30" s="3"/>
      <c r="AC30" s="3"/>
      <c r="AD30" s="3"/>
      <c r="AE30" s="7"/>
      <c r="AF30" s="8"/>
      <c r="AG30" s="4"/>
    </row>
    <row r="31" spans="2:45" x14ac:dyDescent="0.3">
      <c r="B31" s="37" t="s">
        <v>62</v>
      </c>
      <c r="C31" s="37"/>
      <c r="D31" s="37"/>
      <c r="E31" s="37"/>
      <c r="F31" s="45"/>
      <c r="G31" s="45"/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1"/>
      <c r="V31" s="8"/>
      <c r="W31" s="8"/>
      <c r="X31" s="8"/>
      <c r="Y31" s="8"/>
      <c r="Z31" s="31"/>
      <c r="AA31" s="3"/>
      <c r="AB31" s="3"/>
      <c r="AC31" s="3"/>
      <c r="AD31" s="8"/>
      <c r="AE31" s="8"/>
      <c r="AF31" s="6"/>
      <c r="AG31" s="4"/>
    </row>
    <row r="32" spans="2:45" outlineLevel="1" x14ac:dyDescent="0.3">
      <c r="B32" s="8">
        <v>21</v>
      </c>
      <c r="C32" s="8" t="s">
        <v>63</v>
      </c>
      <c r="D32" s="8" t="s">
        <v>63</v>
      </c>
      <c r="E32" s="8" t="s">
        <v>64</v>
      </c>
      <c r="F32" s="42">
        <v>0</v>
      </c>
      <c r="G32" s="42">
        <v>0</v>
      </c>
      <c r="H32" s="27" t="s">
        <v>72</v>
      </c>
      <c r="I32" s="8"/>
      <c r="J32" s="8"/>
      <c r="K32" s="8"/>
      <c r="L32" s="3"/>
      <c r="M32" s="3"/>
      <c r="N32" s="3"/>
      <c r="O32" s="3"/>
      <c r="P32" s="3"/>
      <c r="Q32" s="3"/>
      <c r="R32" s="3"/>
      <c r="S32" s="3"/>
      <c r="T32" s="3"/>
      <c r="U32" s="32"/>
      <c r="V32" s="8"/>
      <c r="W32" s="8"/>
      <c r="X32" s="8"/>
      <c r="Y32" s="8"/>
      <c r="Z32" s="31"/>
      <c r="AA32" s="3"/>
      <c r="AB32" s="3"/>
      <c r="AC32" s="8"/>
      <c r="AD32" s="8"/>
      <c r="AE32" s="8"/>
      <c r="AF32" s="7"/>
      <c r="AG32" s="4"/>
    </row>
    <row r="33" spans="21:32" x14ac:dyDescent="0.3">
      <c r="U33" s="34"/>
      <c r="V33" s="4"/>
      <c r="W33" s="4"/>
      <c r="X33" s="4"/>
      <c r="AC33" s="4"/>
      <c r="AD33" s="4"/>
      <c r="AE33" s="4"/>
      <c r="AF33" s="4"/>
    </row>
    <row r="34" spans="21:32" x14ac:dyDescent="0.3">
      <c r="U34" s="34"/>
      <c r="V34" s="4"/>
      <c r="W34" s="4"/>
      <c r="X34" s="4"/>
      <c r="AC34" s="4"/>
      <c r="AD34" s="4"/>
      <c r="AE34" s="4"/>
      <c r="AF34" s="4"/>
    </row>
  </sheetData>
  <mergeCells count="12">
    <mergeCell ref="Y4:AB4"/>
    <mergeCell ref="AC4:AF4"/>
    <mergeCell ref="B31:E31"/>
    <mergeCell ref="I4:L4"/>
    <mergeCell ref="M4:P4"/>
    <mergeCell ref="Q4:T4"/>
    <mergeCell ref="U4:X4"/>
    <mergeCell ref="B6:E6"/>
    <mergeCell ref="B14:E14"/>
    <mergeCell ref="B20:E20"/>
    <mergeCell ref="B23:E23"/>
    <mergeCell ref="B27:E27"/>
  </mergeCells>
  <dataValidations count="1">
    <dataValidation type="list" allowBlank="1" showInputMessage="1" showErrorMessage="1" sqref="H32 H28:H30 H7:H13 H15:H26" xr:uid="{C228CD3F-A33D-41D4-AD53-02A1C4B13365}">
      <formula1>"Plan, In Progress, Completed, Overdue"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Dody Suryanto</dc:creator>
  <cp:lastModifiedBy>Andre Alfiano</cp:lastModifiedBy>
  <cp:lastPrinted>2026-05-04T07:51:05Z</cp:lastPrinted>
  <dcterms:created xsi:type="dcterms:W3CDTF">2026-04-07T14:05:53Z</dcterms:created>
  <dcterms:modified xsi:type="dcterms:W3CDTF">2026-09-09T03:22:50Z</dcterms:modified>
</cp:coreProperties>
</file>